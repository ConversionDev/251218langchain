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Tud\2024\Akksi\rev3\"/>
    </mc:Choice>
  </mc:AlternateContent>
  <bookViews>
    <workbookView xWindow="0" yWindow="0" windowWidth="16425" windowHeight="10545"/>
  </bookViews>
  <sheets>
    <sheet name="Factories_sum" sheetId="2" r:id="rId1"/>
    <sheet name="Factors" sheetId="4" r:id="rId2"/>
    <sheet name="Samsung_energy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C16" i="2"/>
  <c r="E12" i="2"/>
  <c r="E13" i="2" s="1"/>
  <c r="C14" i="2"/>
  <c r="C15" i="2" s="1"/>
  <c r="C12" i="2"/>
  <c r="E9" i="2"/>
  <c r="E8" i="2"/>
  <c r="C8" i="2"/>
  <c r="E7" i="2"/>
  <c r="C7" i="2"/>
  <c r="E5" i="2"/>
  <c r="C5" i="2"/>
  <c r="C6" i="2" s="1"/>
  <c r="E19" i="2"/>
  <c r="C19" i="2"/>
  <c r="C20" i="2" s="1"/>
  <c r="E4" i="2"/>
  <c r="B11" i="5"/>
  <c r="B13" i="5" s="1"/>
  <c r="C17" i="2" l="1"/>
  <c r="B12" i="5"/>
  <c r="D12" i="5" s="1"/>
  <c r="E29" i="2"/>
  <c r="D29" i="2"/>
  <c r="E6" i="2"/>
  <c r="C13" i="2"/>
  <c r="E20" i="2"/>
  <c r="C4" i="2"/>
  <c r="D2" i="2"/>
  <c r="D25" i="2" l="1"/>
  <c r="D4" i="2"/>
  <c r="C10" i="2"/>
  <c r="C11" i="2" s="1"/>
  <c r="D19" i="2"/>
  <c r="D20" i="2" s="1"/>
  <c r="D22" i="2"/>
  <c r="D12" i="2" s="1"/>
  <c r="D23" i="2"/>
  <c r="D24" i="2"/>
  <c r="E10" i="2"/>
  <c r="E11" i="2" s="1"/>
  <c r="C18" i="2"/>
  <c r="D7" i="2" l="1"/>
  <c r="D16" i="2"/>
  <c r="D14" i="2"/>
  <c r="D15" i="2" s="1"/>
  <c r="D5" i="2"/>
  <c r="D6" i="2" s="1"/>
  <c r="D13" i="2"/>
  <c r="D8" i="2"/>
  <c r="D17" i="2" s="1"/>
  <c r="D10" i="2" l="1"/>
  <c r="D11" i="2" s="1"/>
  <c r="D18" i="2"/>
</calcChain>
</file>

<file path=xl/sharedStrings.xml><?xml version="1.0" encoding="utf-8"?>
<sst xmlns="http://schemas.openxmlformats.org/spreadsheetml/2006/main" count="85" uniqueCount="51">
  <si>
    <t>CATL Debrecen</t>
  </si>
  <si>
    <t>Samsung Göd</t>
  </si>
  <si>
    <t>SK Innovation Iváncsa</t>
  </si>
  <si>
    <t xml:space="preserve">Capacity </t>
  </si>
  <si>
    <t>GWh/year</t>
  </si>
  <si>
    <t>Energy consumption</t>
  </si>
  <si>
    <t>kWh/kWh</t>
  </si>
  <si>
    <t>Water consumption</t>
  </si>
  <si>
    <t>L/kWh</t>
  </si>
  <si>
    <t>WSF</t>
  </si>
  <si>
    <t>Local CO2 emission (gas)</t>
  </si>
  <si>
    <t>ton/year</t>
  </si>
  <si>
    <t>kg/kWh</t>
  </si>
  <si>
    <t>Local CO2 emission (truck)</t>
  </si>
  <si>
    <t>Local CO2 emission (car)</t>
  </si>
  <si>
    <t>Local CO2 emission (bus)</t>
  </si>
  <si>
    <t>Local CO2 emission - Total</t>
  </si>
  <si>
    <t>Global CO2 emission (gas)</t>
  </si>
  <si>
    <t>Global CO2 emission (electricity)</t>
  </si>
  <si>
    <t>Global CO2 emission (truck)</t>
  </si>
  <si>
    <t>Global CO2 emission - Total</t>
  </si>
  <si>
    <t>Natural gas consumption</t>
  </si>
  <si>
    <t>m3/year</t>
  </si>
  <si>
    <t>Electricity</t>
  </si>
  <si>
    <t>kWh</t>
  </si>
  <si>
    <t>Truck</t>
  </si>
  <si>
    <t>pcs/day</t>
  </si>
  <si>
    <t>Car</t>
  </si>
  <si>
    <t>Bus</t>
  </si>
  <si>
    <t>Capacity</t>
  </si>
  <si>
    <t>Total</t>
  </si>
  <si>
    <t>m3</t>
  </si>
  <si>
    <t>Calorific value of natural gas traded in Hungary (kWh/m3)</t>
  </si>
  <si>
    <t>Natural gas</t>
  </si>
  <si>
    <t>Natural gas %</t>
  </si>
  <si>
    <t>Eletricity %</t>
  </si>
  <si>
    <t>CO2 emissions (ton)</t>
  </si>
  <si>
    <t>Energy use and GHG emissions data reported by Samsung SDI Hungary, 2023</t>
  </si>
  <si>
    <t>Emission factors used in the report</t>
  </si>
  <si>
    <t>Natural gas (kgCO2eq/kWh)</t>
  </si>
  <si>
    <t>Electricity (kgCO2eq/kWh)</t>
  </si>
  <si>
    <t>Calculated consumptions</t>
  </si>
  <si>
    <t>N/A</t>
  </si>
  <si>
    <t>Water scarcity footprint</t>
  </si>
  <si>
    <t xml:space="preserve">AWARE characterization factor (CF) </t>
  </si>
  <si>
    <t>IPCC standard default emission factor for natural gas for stationary combustion (kgCO2eq/kWh )</t>
  </si>
  <si>
    <t>GHG intensities (kgCO2eq/km)</t>
  </si>
  <si>
    <t>CoM LCA default emission factor for natural gas (kgCO2eq/kWh )</t>
  </si>
  <si>
    <t>Emission factor of electricity provided by the Hungarian electricity supplier (kgCO2eq/kWh )</t>
  </si>
  <si>
    <t>Electricity use</t>
  </si>
  <si>
    <t>NMP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</si>
</sst>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u/>
      <sz val="11"/>
      <color rgb="FFFF0000"/>
      <name val="Calibri"/>
      <family val="2"/>
      <charset val="238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2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0" xfId="1"/>
    <xf numFmtId="4" fontId="0" fillId="0" borderId="0" xfId="0" applyNumberFormat="1"/>
    <xf numFmtId="0" fontId="4" fillId="0" borderId="0" xfId="0" applyFont="1"/>
    <xf numFmtId="0" fontId="0" fillId="0" borderId="0" xfId="0" applyFont="1"/>
    <xf numFmtId="0" fontId="5" fillId="0" borderId="0" xfId="1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3" fontId="1" fillId="0" borderId="0" xfId="0" applyNumberFormat="1" applyFont="1"/>
    <xf numFmtId="3" fontId="4" fillId="0" borderId="0" xfId="0" applyNumberFormat="1" applyFont="1"/>
    <xf numFmtId="3" fontId="7" fillId="0" borderId="0" xfId="0" applyNumberFormat="1" applyFont="1"/>
    <xf numFmtId="1" fontId="9" fillId="0" borderId="0" xfId="0" applyNumberFormat="1" applyFont="1" applyAlignment="1">
      <alignment horizontal="right"/>
    </xf>
    <xf numFmtId="0" fontId="10" fillId="0" borderId="0" xfId="0" applyFont="1"/>
    <xf numFmtId="1" fontId="4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/>
    <xf numFmtId="2" fontId="4" fillId="0" borderId="0" xfId="0" applyNumberFormat="1" applyFont="1"/>
    <xf numFmtId="1" fontId="0" fillId="0" borderId="0" xfId="0" applyNumberFormat="1" applyAlignment="1">
      <alignment horizontal="right"/>
    </xf>
    <xf numFmtId="1" fontId="4" fillId="0" borderId="0" xfId="0" applyNumberFormat="1" applyFont="1" applyAlignment="1">
      <alignment horizontal="right"/>
    </xf>
    <xf numFmtId="0" fontId="11" fillId="0" borderId="0" xfId="0" applyFont="1"/>
    <xf numFmtId="165" fontId="11" fillId="0" borderId="0" xfId="0" applyNumberFormat="1" applyFont="1"/>
    <xf numFmtId="0" fontId="12" fillId="0" borderId="0" xfId="0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/>
  </sheetViews>
  <sheetFormatPr defaultRowHeight="15" x14ac:dyDescent="0.25"/>
  <cols>
    <col min="1" max="1" width="29.28515625" customWidth="1"/>
    <col min="2" max="4" width="15.85546875" customWidth="1"/>
    <col min="5" max="5" width="20.42578125" bestFit="1" customWidth="1"/>
    <col min="6" max="6" width="12.42578125" bestFit="1" customWidth="1"/>
    <col min="7" max="7" width="10" bestFit="1" customWidth="1"/>
    <col min="8" max="8" width="15" bestFit="1" customWidth="1"/>
  </cols>
  <sheetData>
    <row r="1" spans="1:8" x14ac:dyDescent="0.25">
      <c r="C1" s="29" t="s">
        <v>0</v>
      </c>
      <c r="D1" s="29" t="s">
        <v>1</v>
      </c>
      <c r="E1" s="29" t="s">
        <v>2</v>
      </c>
    </row>
    <row r="2" spans="1:8" x14ac:dyDescent="0.25">
      <c r="A2" s="9" t="s">
        <v>3</v>
      </c>
      <c r="B2" s="9" t="s">
        <v>4</v>
      </c>
      <c r="C2" s="9">
        <v>40</v>
      </c>
      <c r="D2" s="21">
        <f>D3*1000*200/1000000000</f>
        <v>26.18</v>
      </c>
      <c r="E2" s="9">
        <v>30</v>
      </c>
    </row>
    <row r="3" spans="1:8" x14ac:dyDescent="0.25">
      <c r="A3" t="s">
        <v>29</v>
      </c>
      <c r="B3" t="s">
        <v>11</v>
      </c>
      <c r="D3" s="3">
        <v>130900</v>
      </c>
      <c r="E3" s="3"/>
    </row>
    <row r="4" spans="1:8" x14ac:dyDescent="0.25">
      <c r="A4" s="9" t="s">
        <v>5</v>
      </c>
      <c r="B4" s="9" t="s">
        <v>6</v>
      </c>
      <c r="C4" s="22">
        <f>(C22*Factors!$A$2+C23*1000000)/(C2*1000000)</f>
        <v>34.564999999999998</v>
      </c>
      <c r="D4" s="23">
        <f>Samsung_energy!B11/D2/1000000</f>
        <v>28.329135183406081</v>
      </c>
      <c r="E4" s="22">
        <f>(E22*Factors!$A$2)/(E2*1000000)</f>
        <v>29.449854719999998</v>
      </c>
    </row>
    <row r="5" spans="1:8" x14ac:dyDescent="0.25">
      <c r="A5" t="s">
        <v>10</v>
      </c>
      <c r="B5" t="s">
        <v>11</v>
      </c>
      <c r="C5" s="3">
        <f>C22*Factors!A2*Factors!A5/1000</f>
        <v>171619.20000000001</v>
      </c>
      <c r="D5" s="3">
        <f>D22*Factors!A2*Factors!A5/1000</f>
        <v>49438.839561710738</v>
      </c>
      <c r="E5" s="3">
        <f>E22*Factors!A2*Factors!A5/1000</f>
        <v>178466.1196032</v>
      </c>
      <c r="H5" s="3"/>
    </row>
    <row r="6" spans="1:8" x14ac:dyDescent="0.25">
      <c r="A6" t="s">
        <v>10</v>
      </c>
      <c r="B6" t="s">
        <v>12</v>
      </c>
      <c r="C6" s="4">
        <f>C5*1000/C2/1000000</f>
        <v>4.2904799999999996</v>
      </c>
      <c r="D6" s="4">
        <f>D5*1000/D2/1000000</f>
        <v>1.8884201513258494</v>
      </c>
      <c r="E6" s="4">
        <f>E5*1000/E2/1000000</f>
        <v>5.9488706534399993</v>
      </c>
    </row>
    <row r="7" spans="1:8" x14ac:dyDescent="0.25">
      <c r="A7" t="s">
        <v>13</v>
      </c>
      <c r="B7" t="s">
        <v>11</v>
      </c>
      <c r="C7">
        <f>C24*330*50*Factors!B14/1000</f>
        <v>5775</v>
      </c>
      <c r="D7" s="1">
        <f>D24*330*50*Factors!B14/1000</f>
        <v>3779.7375000000002</v>
      </c>
      <c r="E7" s="1">
        <f>E24*330*50*Factors!B14/1000</f>
        <v>2062.5</v>
      </c>
    </row>
    <row r="8" spans="1:8" x14ac:dyDescent="0.25">
      <c r="A8" t="s">
        <v>14</v>
      </c>
      <c r="B8" t="s">
        <v>11</v>
      </c>
      <c r="C8" s="1">
        <f>C25*330*50*Factors!B15/1000</f>
        <v>4260.3</v>
      </c>
      <c r="D8" s="1">
        <f>D25*330*50*Factors!B15/1000</f>
        <v>2788.3663499999998</v>
      </c>
      <c r="E8" s="1">
        <f>E25*330*50*Factors!B15/1000</f>
        <v>990</v>
      </c>
    </row>
    <row r="9" spans="1:8" x14ac:dyDescent="0.25">
      <c r="A9" t="s">
        <v>15</v>
      </c>
      <c r="B9" t="s">
        <v>11</v>
      </c>
      <c r="C9" s="1"/>
      <c r="D9" s="1"/>
      <c r="E9" s="1">
        <f>E26*330*50*Factors!B16/1000</f>
        <v>643.5</v>
      </c>
    </row>
    <row r="10" spans="1:8" x14ac:dyDescent="0.25">
      <c r="A10" s="9" t="s">
        <v>16</v>
      </c>
      <c r="B10" s="9" t="s">
        <v>11</v>
      </c>
      <c r="C10" s="17">
        <f>C5+C7+C8+C9</f>
        <v>181654.5</v>
      </c>
      <c r="D10" s="17">
        <f>D5+D7+D8+D9</f>
        <v>56006.943411710738</v>
      </c>
      <c r="E10" s="17">
        <f>E5+E7+E8+E9</f>
        <v>182162.1196032</v>
      </c>
    </row>
    <row r="11" spans="1:8" x14ac:dyDescent="0.25">
      <c r="A11" t="s">
        <v>16</v>
      </c>
      <c r="B11" t="s">
        <v>12</v>
      </c>
      <c r="C11" s="4">
        <f>C10*1000/C2/1000000</f>
        <v>4.5413625</v>
      </c>
      <c r="D11" s="4">
        <f>D10*1000/D2/1000000</f>
        <v>2.1393026513258495</v>
      </c>
      <c r="E11" s="4">
        <f>E10*1000/E2/1000000</f>
        <v>6.07207065344</v>
      </c>
    </row>
    <row r="12" spans="1:8" x14ac:dyDescent="0.25">
      <c r="A12" t="s">
        <v>17</v>
      </c>
      <c r="B12" t="s">
        <v>11</v>
      </c>
      <c r="C12" s="3">
        <f>C22*Factors!A2*Factors!A8/1000</f>
        <v>203904</v>
      </c>
      <c r="D12" s="3">
        <f>D22*Factors!A2*Factors!A8/1000</f>
        <v>58739.215320844436</v>
      </c>
      <c r="E12" s="3">
        <f>E22*Factors!A2*Factors!A8/1000</f>
        <v>212038.95398399996</v>
      </c>
    </row>
    <row r="13" spans="1:8" x14ac:dyDescent="0.25">
      <c r="A13" t="s">
        <v>17</v>
      </c>
      <c r="B13" t="s">
        <v>12</v>
      </c>
      <c r="C13" s="4">
        <f>C12*1000/C2/1000000</f>
        <v>5.0975999999999999</v>
      </c>
      <c r="D13" s="4">
        <f>D12*1000/D2/1000000</f>
        <v>2.2436675065257616</v>
      </c>
      <c r="E13" s="4">
        <f>E12*1000/E2/1000000</f>
        <v>7.0679651327999986</v>
      </c>
    </row>
    <row r="14" spans="1:8" x14ac:dyDescent="0.25">
      <c r="A14" t="s">
        <v>18</v>
      </c>
      <c r="B14" t="s">
        <v>11</v>
      </c>
      <c r="C14" s="3">
        <f>C23*1000000*Factors!A11/1000</f>
        <v>171945.8</v>
      </c>
      <c r="D14" s="3">
        <f>D23*1000000*Factors!A11/1000</f>
        <v>160303.1752257318</v>
      </c>
      <c r="E14" s="25" t="s">
        <v>42</v>
      </c>
    </row>
    <row r="15" spans="1:8" x14ac:dyDescent="0.25">
      <c r="A15" t="s">
        <v>18</v>
      </c>
      <c r="B15" t="s">
        <v>12</v>
      </c>
      <c r="C15" s="4">
        <f>C14*1000/C2/1000000</f>
        <v>4.2986449999999996</v>
      </c>
      <c r="D15" s="4">
        <f>D14*1000/D2/1000000</f>
        <v>6.1231159368117565</v>
      </c>
      <c r="E15" s="25" t="s">
        <v>42</v>
      </c>
    </row>
    <row r="16" spans="1:8" x14ac:dyDescent="0.25">
      <c r="A16" t="s">
        <v>19</v>
      </c>
      <c r="B16" t="s">
        <v>11</v>
      </c>
      <c r="C16" s="3">
        <f>C24*330*500*Factors!B14/1000</f>
        <v>57750</v>
      </c>
      <c r="D16" s="3">
        <f>D24*330*500*Factors!B14/1000</f>
        <v>37797.375</v>
      </c>
      <c r="E16" s="3">
        <f>E24*330*500*Factors!B14/1000</f>
        <v>20625</v>
      </c>
    </row>
    <row r="17" spans="1:9" x14ac:dyDescent="0.25">
      <c r="A17" s="9" t="s">
        <v>20</v>
      </c>
      <c r="B17" s="9" t="s">
        <v>11</v>
      </c>
      <c r="C17" s="17">
        <f>C12+C14+C16+C8</f>
        <v>437860.1</v>
      </c>
      <c r="D17" s="17">
        <f>D12+D14+D16+D8</f>
        <v>259628.13189657623</v>
      </c>
      <c r="E17" s="26" t="s">
        <v>42</v>
      </c>
    </row>
    <row r="18" spans="1:9" x14ac:dyDescent="0.25">
      <c r="A18" s="9" t="s">
        <v>20</v>
      </c>
      <c r="B18" s="9" t="s">
        <v>12</v>
      </c>
      <c r="C18" s="24">
        <f>C17*1000/C2/1000000</f>
        <v>10.946502499999999</v>
      </c>
      <c r="D18" s="24">
        <f>D17*1000/D2/1000000</f>
        <v>9.9170409433375184</v>
      </c>
      <c r="E18" s="26" t="s">
        <v>42</v>
      </c>
    </row>
    <row r="19" spans="1:9" x14ac:dyDescent="0.25">
      <c r="A19" s="9" t="s">
        <v>7</v>
      </c>
      <c r="B19" s="9" t="s">
        <v>8</v>
      </c>
      <c r="C19" s="22">
        <f>3378*330*1000/C2/1000000</f>
        <v>27.868500000000001</v>
      </c>
      <c r="D19" s="22">
        <f>1458927*1000/D2/1000000</f>
        <v>55.726776165011458</v>
      </c>
      <c r="E19" s="22">
        <f>6091*330*1000/E2/1000000</f>
        <v>67.001000000000005</v>
      </c>
    </row>
    <row r="20" spans="1:9" x14ac:dyDescent="0.25">
      <c r="A20" t="s">
        <v>9</v>
      </c>
      <c r="B20" t="s">
        <v>8</v>
      </c>
      <c r="C20" s="2">
        <f>C19*Factors!A20</f>
        <v>32.438933999999996</v>
      </c>
      <c r="D20" s="2">
        <f>D19*Factors!A20</f>
        <v>64.865967456073335</v>
      </c>
      <c r="E20" s="2">
        <f>E19*Factors!A20</f>
        <v>77.989164000000002</v>
      </c>
    </row>
    <row r="22" spans="1:9" x14ac:dyDescent="0.25">
      <c r="A22" t="s">
        <v>21</v>
      </c>
      <c r="B22" t="s">
        <v>22</v>
      </c>
      <c r="C22" s="3">
        <v>90000000</v>
      </c>
      <c r="D22" s="3">
        <f>Samsung_energy!D12</f>
        <v>25926560.434694756</v>
      </c>
      <c r="E22" s="3">
        <v>93590640</v>
      </c>
    </row>
    <row r="23" spans="1:9" x14ac:dyDescent="0.25">
      <c r="A23" t="s">
        <v>49</v>
      </c>
      <c r="B23" t="s">
        <v>4</v>
      </c>
      <c r="C23">
        <v>533</v>
      </c>
      <c r="D23" s="1">
        <f>Samsung_energy!B13/1000000</f>
        <v>496.91002859805269</v>
      </c>
      <c r="E23" s="19" t="s">
        <v>42</v>
      </c>
      <c r="F23" s="5"/>
      <c r="G23" s="5"/>
      <c r="H23" s="6"/>
      <c r="I23" s="5"/>
    </row>
    <row r="24" spans="1:9" x14ac:dyDescent="0.25">
      <c r="A24" t="s">
        <v>25</v>
      </c>
      <c r="B24" t="s">
        <v>26</v>
      </c>
      <c r="C24">
        <v>350</v>
      </c>
      <c r="D24" s="1">
        <f>D2/C2*C24</f>
        <v>229.07499999999999</v>
      </c>
      <c r="E24">
        <v>125</v>
      </c>
    </row>
    <row r="25" spans="1:9" x14ac:dyDescent="0.25">
      <c r="A25" t="s">
        <v>27</v>
      </c>
      <c r="B25" t="s">
        <v>26</v>
      </c>
      <c r="C25">
        <v>1291</v>
      </c>
      <c r="D25" s="1">
        <f>D2/C2*C25</f>
        <v>844.95949999999993</v>
      </c>
      <c r="E25">
        <v>300</v>
      </c>
      <c r="H25" s="3"/>
    </row>
    <row r="26" spans="1:9" x14ac:dyDescent="0.25">
      <c r="A26" t="s">
        <v>28</v>
      </c>
      <c r="B26" t="s">
        <v>26</v>
      </c>
      <c r="E26">
        <v>65</v>
      </c>
    </row>
    <row r="28" spans="1:9" x14ac:dyDescent="0.25">
      <c r="A28" t="s">
        <v>50</v>
      </c>
      <c r="B28" t="s">
        <v>11</v>
      </c>
      <c r="C28">
        <v>2000</v>
      </c>
      <c r="D28">
        <v>14477</v>
      </c>
      <c r="E28">
        <v>13150</v>
      </c>
      <c r="F28" s="3"/>
    </row>
    <row r="29" spans="1:9" x14ac:dyDescent="0.25">
      <c r="A29" t="s">
        <v>50</v>
      </c>
      <c r="B29" t="s">
        <v>12</v>
      </c>
      <c r="D29" s="30">
        <f>D28/26/1000</f>
        <v>0.55680769230769223</v>
      </c>
      <c r="E29" s="30">
        <f>E28/26/1000</f>
        <v>0.50576923076923075</v>
      </c>
      <c r="F29" s="3"/>
    </row>
    <row r="32" spans="1:9" x14ac:dyDescent="0.25">
      <c r="B32" s="3"/>
    </row>
    <row r="34" spans="1:6" x14ac:dyDescent="0.25">
      <c r="B34" s="7"/>
    </row>
    <row r="39" spans="1:6" x14ac:dyDescent="0.25">
      <c r="E39" s="8"/>
    </row>
    <row r="42" spans="1:6" x14ac:dyDescent="0.25">
      <c r="F42" s="3"/>
    </row>
    <row r="44" spans="1:6" x14ac:dyDescent="0.25">
      <c r="B44" s="7"/>
    </row>
    <row r="45" spans="1:6" x14ac:dyDescent="0.25">
      <c r="B45" s="7"/>
    </row>
    <row r="47" spans="1:6" x14ac:dyDescent="0.25">
      <c r="C47" s="7"/>
    </row>
    <row r="48" spans="1:6" x14ac:dyDescent="0.25">
      <c r="A48" s="10"/>
    </row>
    <row r="50" spans="1:1" x14ac:dyDescent="0.25">
      <c r="A50" s="11"/>
    </row>
    <row r="51" spans="1:1" x14ac:dyDescent="0.25">
      <c r="A51" s="7"/>
    </row>
    <row r="52" spans="1:1" x14ac:dyDescent="0.25">
      <c r="A5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 x14ac:dyDescent="0.25"/>
  <sheetData>
    <row r="1" spans="1:2" x14ac:dyDescent="0.25">
      <c r="A1" t="s">
        <v>32</v>
      </c>
    </row>
    <row r="2" spans="1:2" x14ac:dyDescent="0.25">
      <c r="A2" s="20">
        <v>9.44</v>
      </c>
    </row>
    <row r="4" spans="1:2" x14ac:dyDescent="0.25">
      <c r="A4" t="s">
        <v>45</v>
      </c>
    </row>
    <row r="5" spans="1:2" x14ac:dyDescent="0.25">
      <c r="A5" s="27">
        <v>0.20200000000000001</v>
      </c>
    </row>
    <row r="7" spans="1:2" x14ac:dyDescent="0.25">
      <c r="A7" t="s">
        <v>47</v>
      </c>
    </row>
    <row r="8" spans="1:2" x14ac:dyDescent="0.25">
      <c r="A8" s="28">
        <v>0.24</v>
      </c>
    </row>
    <row r="9" spans="1:2" x14ac:dyDescent="0.25">
      <c r="A9" s="27"/>
    </row>
    <row r="10" spans="1:2" x14ac:dyDescent="0.25">
      <c r="A10" t="s">
        <v>48</v>
      </c>
    </row>
    <row r="11" spans="1:2" x14ac:dyDescent="0.25">
      <c r="A11" s="27">
        <v>0.3226</v>
      </c>
    </row>
    <row r="13" spans="1:2" x14ac:dyDescent="0.25">
      <c r="A13" t="s">
        <v>46</v>
      </c>
    </row>
    <row r="14" spans="1:2" x14ac:dyDescent="0.25">
      <c r="A14" t="s">
        <v>25</v>
      </c>
      <c r="B14" s="27">
        <v>1</v>
      </c>
    </row>
    <row r="15" spans="1:2" x14ac:dyDescent="0.25">
      <c r="A15" t="s">
        <v>27</v>
      </c>
      <c r="B15" s="27">
        <v>0.2</v>
      </c>
    </row>
    <row r="16" spans="1:2" x14ac:dyDescent="0.25">
      <c r="A16" t="s">
        <v>28</v>
      </c>
      <c r="B16" s="27">
        <v>0.6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s="20">
        <v>1.1639999999999999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3" sqref="B13"/>
    </sheetView>
  </sheetViews>
  <sheetFormatPr defaultRowHeight="15" x14ac:dyDescent="0.25"/>
  <cols>
    <col min="1" max="1" width="25.85546875" customWidth="1"/>
    <col min="2" max="2" width="10.85546875" bestFit="1" customWidth="1"/>
    <col min="4" max="4" width="9.85546875" bestFit="1" customWidth="1"/>
    <col min="6" max="6" width="9.140625" customWidth="1"/>
  </cols>
  <sheetData>
    <row r="1" spans="1:5" x14ac:dyDescent="0.25">
      <c r="A1" s="13" t="s">
        <v>37</v>
      </c>
      <c r="B1" s="14"/>
    </row>
    <row r="2" spans="1:5" x14ac:dyDescent="0.25">
      <c r="A2" s="14" t="s">
        <v>34</v>
      </c>
      <c r="B2" s="14">
        <v>33</v>
      </c>
    </row>
    <row r="3" spans="1:5" x14ac:dyDescent="0.25">
      <c r="A3" s="14" t="s">
        <v>35</v>
      </c>
      <c r="B3" s="14">
        <v>67</v>
      </c>
    </row>
    <row r="4" spans="1:5" x14ac:dyDescent="0.25">
      <c r="A4" s="14" t="s">
        <v>36</v>
      </c>
      <c r="B4" s="18">
        <v>230811</v>
      </c>
    </row>
    <row r="6" spans="1:5" x14ac:dyDescent="0.25">
      <c r="A6" s="15" t="s">
        <v>38</v>
      </c>
      <c r="B6" s="15"/>
    </row>
    <row r="7" spans="1:5" x14ac:dyDescent="0.25">
      <c r="A7" s="15" t="s">
        <v>39</v>
      </c>
      <c r="B7" s="15">
        <v>0.20200000000000001</v>
      </c>
    </row>
    <row r="8" spans="1:5" x14ac:dyDescent="0.25">
      <c r="A8" s="15" t="s">
        <v>40</v>
      </c>
      <c r="B8" s="15">
        <v>0.36499999999999999</v>
      </c>
    </row>
    <row r="10" spans="1:5" x14ac:dyDescent="0.25">
      <c r="A10" s="9" t="s">
        <v>41</v>
      </c>
    </row>
    <row r="11" spans="1:5" x14ac:dyDescent="0.25">
      <c r="A11" s="9" t="s">
        <v>30</v>
      </c>
      <c r="B11" s="17">
        <f>B4*1000/(B2/100*B7+B3/100*B8)</f>
        <v>741656759.1015712</v>
      </c>
      <c r="C11" s="9" t="s">
        <v>24</v>
      </c>
      <c r="D11" s="8"/>
    </row>
    <row r="12" spans="1:5" x14ac:dyDescent="0.25">
      <c r="A12" s="9" t="s">
        <v>33</v>
      </c>
      <c r="B12" s="17">
        <f>B11*B2/100</f>
        <v>244746730.50351849</v>
      </c>
      <c r="C12" s="9" t="s">
        <v>24</v>
      </c>
      <c r="D12" s="16">
        <f>B12/Factors!A2</f>
        <v>25926560.434694756</v>
      </c>
      <c r="E12" s="12" t="s">
        <v>31</v>
      </c>
    </row>
    <row r="13" spans="1:5" x14ac:dyDescent="0.25">
      <c r="A13" s="9" t="s">
        <v>23</v>
      </c>
      <c r="B13" s="17">
        <f>B11*B3/100</f>
        <v>496910028.59805268</v>
      </c>
      <c r="C13" s="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Factories_sum</vt:lpstr>
      <vt:lpstr>Factors</vt:lpstr>
      <vt:lpstr>Samsung_energy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Ákos</dc:creator>
  <cp:lastModifiedBy>Ákos</cp:lastModifiedBy>
  <dcterms:created xsi:type="dcterms:W3CDTF">2024-09-24T11:01:55Z</dcterms:created>
  <dcterms:modified xsi:type="dcterms:W3CDTF">2025-01-06T13:52:04Z</dcterms:modified>
</cp:coreProperties>
</file>